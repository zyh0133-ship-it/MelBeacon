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X:\SHOffice\Sales\To DM\目标设定\"/>
    </mc:Choice>
  </mc:AlternateContent>
  <xr:revisionPtr revIDLastSave="0" documentId="13_ncr:1_{8735AB93-E3FD-47C7-8217-85545DC1B026}" xr6:coauthVersionLast="46" xr6:coauthVersionMax="46" xr10:uidLastSave="{00000000-0000-0000-0000-000000000000}"/>
  <bookViews>
    <workbookView showHorizontalScroll="0" showVerticalScroll="0" xWindow="-110" yWindow="-110" windowWidth="38620" windowHeight="21220" tabRatio="807" autoFilterDateGrouping="0" xr2:uid="{00000000-000D-0000-FFFF-FFFF00000000}"/>
  </bookViews>
  <sheets>
    <sheet name="晋升目标" sheetId="1" r:id="rId1"/>
    <sheet name="何时达成" sheetId="9" r:id="rId2"/>
    <sheet name="培育D目标" sheetId="3" r:id="rId3"/>
    <sheet name="培育率" sheetId="4" r:id="rId4"/>
    <sheet name="推荐成功率" sheetId="5" r:id="rId5"/>
    <sheet name="《认识美乐家》分享率" sheetId="6" r:id="rId6"/>
    <sheet name="应邀率" sheetId="7" r:id="rId7"/>
    <sheet name="接听率" sheetId="12" r:id="rId8"/>
    <sheet name="每周工作天数" sheetId="10" r:id="rId9"/>
    <sheet name="额外假期" sheetId="11" r:id="rId10"/>
    <sheet name="行动指引" sheetId="8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9" l="1"/>
  <c r="J11" i="9"/>
  <c r="R2" i="8" l="1"/>
  <c r="N13" i="8"/>
  <c r="N9" i="8"/>
  <c r="N7" i="8"/>
  <c r="N5" i="8"/>
  <c r="N3" i="8"/>
  <c r="N2" i="8"/>
  <c r="N14" i="8" l="1"/>
  <c r="N4" i="8"/>
  <c r="N6" i="8" s="1"/>
  <c r="N8" i="8" s="1"/>
  <c r="N10" i="8" s="1"/>
  <c r="N12" i="8" s="1"/>
  <c r="N16" i="8" l="1"/>
  <c r="N18" i="8"/>
  <c r="I11" i="9"/>
  <c r="H4" i="8"/>
  <c r="E8" i="8" l="1"/>
  <c r="H6" i="8"/>
  <c r="E10" i="8" l="1"/>
</calcChain>
</file>

<file path=xl/sharedStrings.xml><?xml version="1.0" encoding="utf-8"?>
<sst xmlns="http://schemas.openxmlformats.org/spreadsheetml/2006/main" count="89" uniqueCount="87">
  <si>
    <t>How many personal directors do you need?</t>
  </si>
  <si>
    <t>How many appointments?</t>
  </si>
  <si>
    <t>How many phone calls and approaches?</t>
  </si>
  <si>
    <t>What's your enrollment to director ratio?</t>
  </si>
  <si>
    <t>What's your overview to enrollment ratio?</t>
  </si>
  <si>
    <t>您的晋升目标是？</t>
    <phoneticPr fontId="12" type="noConversion"/>
  </si>
  <si>
    <t>您计划在什么时候达成此目标？</t>
    <phoneticPr fontId="12" type="noConversion"/>
  </si>
  <si>
    <t>现在距离您目标还有多少个休息日？</t>
    <phoneticPr fontId="12" type="noConversion"/>
  </si>
  <si>
    <t>在</t>
    <phoneticPr fontId="12" type="noConversion"/>
  </si>
  <si>
    <t>之前</t>
    <phoneticPr fontId="12" type="noConversion"/>
  </si>
  <si>
    <t>邀约成功率</t>
    <phoneticPr fontId="12" type="noConversion"/>
  </si>
  <si>
    <t>分享&lt;认识美乐家&gt;率</t>
    <phoneticPr fontId="12" type="noConversion"/>
  </si>
  <si>
    <t>电话接听率</t>
    <phoneticPr fontId="12" type="noConversion"/>
  </si>
  <si>
    <t>您的美乐家事业目标：</t>
    <phoneticPr fontId="12" type="noConversion"/>
  </si>
  <si>
    <t>邀约量</t>
    <phoneticPr fontId="12" type="noConversion"/>
  </si>
  <si>
    <t>在您的目标之前还有多少个工作日</t>
    <phoneticPr fontId="12" type="noConversion"/>
  </si>
  <si>
    <t>距达成您的目标，还需要培育多少位新D？</t>
    <phoneticPr fontId="12" type="noConversion"/>
  </si>
  <si>
    <t>*如果您需要5个新D，那么设定6至7个的目标会更棒！</t>
    <phoneticPr fontId="12" type="noConversion"/>
  </si>
  <si>
    <t>如果需要培育1位新D，您需要推荐多少位新会员？</t>
    <phoneticPr fontId="12" type="noConversion"/>
  </si>
  <si>
    <t>* 平均而言，服务10位新会员可以培育1名新D。</t>
    <phoneticPr fontId="12" type="noConversion"/>
  </si>
  <si>
    <t>* 根据您过往的实际经历估算</t>
    <phoneticPr fontId="12" type="noConversion"/>
  </si>
  <si>
    <t>*  根据您过往的实际经历估算</t>
    <phoneticPr fontId="12" type="noConversion"/>
  </si>
  <si>
    <t>每周您会投入多少天进行邀约工作？</t>
    <phoneticPr fontId="12" type="noConversion"/>
  </si>
  <si>
    <t>* 在您的目标达成日期之前，或许您还有一些家庭旅行等额外的休假计划</t>
    <phoneticPr fontId="12" type="noConversion"/>
  </si>
  <si>
    <t>新会员分享达成率</t>
    <phoneticPr fontId="12" type="noConversion"/>
  </si>
  <si>
    <t>潜在顾客听了您的《认识美乐家》分享会成为会员</t>
    <phoneticPr fontId="12" type="noConversion"/>
  </si>
  <si>
    <t>答应邀约的人会和您见面来了解《认识美乐家》</t>
    <phoneticPr fontId="12" type="noConversion"/>
  </si>
  <si>
    <t>的人接听电话会答应您的邀约</t>
    <phoneticPr fontId="12" type="noConversion"/>
  </si>
  <si>
    <t>的人会接听您的邀约电话</t>
    <phoneticPr fontId="12" type="noConversion"/>
  </si>
  <si>
    <t>您需要拨打的邀约电话总数</t>
    <phoneticPr fontId="12" type="noConversion"/>
  </si>
  <si>
    <t>我承诺每天会拨打邀约电话的次数：</t>
    <phoneticPr fontId="12" type="noConversion"/>
  </si>
  <si>
    <t>我承诺每周会完成分享《认识美乐家》的次数：</t>
    <phoneticPr fontId="12" type="noConversion"/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</si>
  <si>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</si>
  <si>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</si>
  <si>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</si>
  <si>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</si>
  <si>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</si>
  <si>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</si>
  <si>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</si>
  <si>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</si>
  <si>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</si>
  <si>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</si>
  <si>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</si>
  <si>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</si>
  <si>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</si>
  <si>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</si>
  <si>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</si>
  <si>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</si>
  <si>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</si>
  <si>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</si>
  <si>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</si>
  <si>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</si>
  <si>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</si>
  <si>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</si>
  <si>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</si>
  <si>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</si>
  <si>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</si>
  <si>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</si>
  <si>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</si>
  <si>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</si>
  <si>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</si>
  <si>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</si>
  <si>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</si>
  <si>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</si>
  <si>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</si>
  <si>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</si>
  <si>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</si>
  <si>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</si>
  <si>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C1</t>
  </si>
  <si>
    <t>C2</t>
  </si>
  <si>
    <t>C3</t>
  </si>
  <si>
    <t>C4</t>
  </si>
  <si>
    <t>C5</t>
  </si>
  <si>
    <t>C6</t>
  </si>
  <si>
    <t>C7</t>
  </si>
  <si>
    <t>C8</t>
  </si>
  <si>
    <t>P1</t>
    <phoneticPr fontId="12" type="noConversion"/>
  </si>
  <si>
    <t>P2</t>
    <phoneticPr fontId="12" type="noConversion"/>
  </si>
  <si>
    <t>P3</t>
    <phoneticPr fontId="12" type="noConversion"/>
  </si>
  <si>
    <t>P4</t>
    <phoneticPr fontId="12" type="noConversion"/>
  </si>
  <si>
    <t>P5</t>
    <phoneticPr fontId="12" type="noConversion"/>
  </si>
  <si>
    <t>* 您也可以根据您的个人实际情况进行推算。比如，您之前推荐了10位新会员，产生了2名新D，那么您可以设定培育1名新D需要新增5位新会员。</t>
    <phoneticPr fontId="12" type="noConversion"/>
  </si>
  <si>
    <t>* 想一下，您可以在周末休息，或者只在周日休息，也许您愿意每天工作！都可以选择！</t>
    <phoneticPr fontId="12" type="noConversion"/>
  </si>
  <si>
    <t>如果您进行10次《认识美乐家》的分享，可以成功推荐几位新会员？</t>
    <phoneticPr fontId="12" type="noConversion"/>
  </si>
  <si>
    <t>如果您进行10次邀约，可以实现多少次《认识美乐家》的成功分享？</t>
    <phoneticPr fontId="12" type="noConversion"/>
  </si>
  <si>
    <t>如果您发出10次邀约，可以成功邀请到潜在顾客？</t>
    <phoneticPr fontId="12" type="noConversion"/>
  </si>
  <si>
    <t>如果您拨打10次电话，会有几位潜在顾客接听？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</si>
</sst>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底&quot;"/>
  </numFmts>
  <fonts count="18" x14ac:knownFonts="1"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6"/>
      <color theme="0"/>
      <name val="宋体"/>
      <family val="2"/>
      <scheme val="minor"/>
    </font>
    <font>
      <sz val="11"/>
      <color rgb="FF006600"/>
      <name val="宋体"/>
      <family val="2"/>
      <scheme val="minor"/>
    </font>
    <font>
      <b/>
      <sz val="12"/>
      <color rgb="FF006600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9"/>
      <color rgb="FF006600"/>
      <name val="宋体"/>
      <family val="2"/>
      <scheme val="minor"/>
    </font>
    <font>
      <b/>
      <sz val="9"/>
      <color theme="0"/>
      <name val="宋体"/>
      <family val="2"/>
      <scheme val="minor"/>
    </font>
    <font>
      <b/>
      <sz val="9"/>
      <color theme="9" tint="0.39997558519241921"/>
      <name val="宋体"/>
      <family val="2"/>
      <scheme val="minor"/>
    </font>
    <font>
      <b/>
      <sz val="11"/>
      <color theme="9" tint="0.39997558519241921"/>
      <name val="宋体"/>
      <family val="2"/>
      <scheme val="minor"/>
    </font>
    <font>
      <b/>
      <sz val="16"/>
      <color theme="9" tint="-0.499984740745262"/>
      <name val="宋体"/>
      <family val="2"/>
      <scheme val="minor"/>
    </font>
    <font>
      <b/>
      <sz val="22"/>
      <color theme="9" tint="-0.499984740745262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20"/>
      <color theme="0"/>
      <name val="宋体"/>
      <family val="3"/>
      <charset val="134"/>
      <scheme val="minor"/>
    </font>
    <font>
      <b/>
      <sz val="16"/>
      <color theme="0"/>
      <name val="宋体"/>
      <family val="3"/>
      <charset val="134"/>
      <scheme val="minor"/>
    </font>
    <font>
      <b/>
      <i/>
      <sz val="12"/>
      <color theme="0"/>
      <name val="宋体"/>
      <family val="3"/>
      <charset val="134"/>
      <scheme val="minor"/>
    </font>
    <font>
      <b/>
      <i/>
      <sz val="12"/>
      <color theme="9" tint="0.3999755851924192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2" fillId="2" borderId="0" xfId="0" applyFont="1" applyFill="1" applyAlignment="1">
      <alignment horizontal="center"/>
    </xf>
    <xf numFmtId="0" fontId="4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0" fontId="8" fillId="2" borderId="0" xfId="0" applyFont="1" applyFill="1"/>
    <xf numFmtId="9" fontId="9" fillId="2" borderId="0" xfId="1" applyFont="1" applyFill="1" applyAlignment="1">
      <alignment horizontal="center"/>
    </xf>
    <xf numFmtId="0" fontId="9" fillId="2" borderId="0" xfId="0" applyFont="1" applyFill="1"/>
    <xf numFmtId="0" fontId="8" fillId="2" borderId="0" xfId="0" applyFont="1" applyFill="1" applyAlignment="1">
      <alignment horizontal="right"/>
    </xf>
    <xf numFmtId="0" fontId="2" fillId="2" borderId="0" xfId="0" applyFont="1" applyFill="1" applyProtection="1">
      <protection locked="0"/>
    </xf>
    <xf numFmtId="0" fontId="10" fillId="3" borderId="0" xfId="0" applyFont="1" applyFill="1" applyProtection="1">
      <protection locked="0"/>
    </xf>
    <xf numFmtId="0" fontId="10" fillId="3" borderId="0" xfId="0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right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8" fillId="2" borderId="0" xfId="0" applyFont="1" applyFill="1" applyProtection="1"/>
    <xf numFmtId="0" fontId="10" fillId="3" borderId="0" xfId="0" applyFont="1" applyFill="1" applyAlignment="1" applyProtection="1">
      <alignment vertical="center"/>
      <protection locked="0"/>
    </xf>
    <xf numFmtId="9" fontId="9" fillId="2" borderId="0" xfId="1" applyFon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9" fontId="9" fillId="2" borderId="0" xfId="1" applyFont="1" applyFill="1" applyAlignment="1">
      <alignment horizontal="right" vertical="center"/>
    </xf>
    <xf numFmtId="0" fontId="9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1" fontId="17" fillId="2" borderId="0" xfId="0" applyNumberFormat="1" applyFont="1" applyFill="1" applyAlignment="1">
      <alignment horizontal="center" vertical="center"/>
    </xf>
    <xf numFmtId="0" fontId="2" fillId="2" borderId="1" xfId="0" applyFont="1" applyFill="1" applyBorder="1" applyAlignment="1" applyProtection="1">
      <alignment horizontal="right"/>
      <protection locked="0"/>
    </xf>
    <xf numFmtId="176" fontId="3" fillId="2" borderId="0" xfId="0" applyNumberFormat="1" applyFont="1" applyFill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>
      <alignment horizontal="right"/>
    </xf>
    <xf numFmtId="176" fontId="2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1" fontId="11" fillId="3" borderId="1" xfId="0" applyNumberFormat="1" applyFont="1" applyFill="1" applyBorder="1" applyAlignment="1" applyProtection="1">
      <alignment horizontal="center"/>
      <protection locked="0"/>
    </xf>
    <xf numFmtId="176" fontId="2" fillId="2" borderId="1" xfId="0" applyNumberFormat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0066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6</xdr:row>
      <xdr:rowOff>47625</xdr:rowOff>
    </xdr:from>
    <xdr:to>
      <xdr:col>17</xdr:col>
      <xdr:colOff>428625</xdr:colOff>
      <xdr:row>8</xdr:row>
      <xdr:rowOff>38100</xdr:rowOff>
    </xdr:to>
    <xdr:sp macro="[0]!Wh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72650" y="119062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20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28575</xdr:colOff>
      <xdr:row>9</xdr:row>
      <xdr:rowOff>85724</xdr:rowOff>
    </xdr:from>
    <xdr:to>
      <xdr:col>18</xdr:col>
      <xdr:colOff>345722</xdr:colOff>
      <xdr:row>12</xdr:row>
      <xdr:rowOff>21166</xdr:rowOff>
    </xdr:to>
    <xdr:sp macro="[0]!StartOv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188575" y="1828446"/>
          <a:ext cx="1587147" cy="46460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2000" b="1">
              <a:latin typeface="Calibri" panose="020F0502020204030204" pitchFamily="34" charset="0"/>
            </a:rPr>
            <a:t>   重新开始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47625</xdr:colOff>
      <xdr:row>14</xdr:row>
      <xdr:rowOff>57150</xdr:rowOff>
    </xdr:from>
    <xdr:to>
      <xdr:col>30</xdr:col>
      <xdr:colOff>588019</xdr:colOff>
      <xdr:row>37</xdr:row>
      <xdr:rowOff>114300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47625" y="2619375"/>
          <a:ext cx="21400144" cy="400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6</xdr:row>
      <xdr:rowOff>66675</xdr:rowOff>
    </xdr:from>
    <xdr:to>
      <xdr:col>16</xdr:col>
      <xdr:colOff>368300</xdr:colOff>
      <xdr:row>8</xdr:row>
      <xdr:rowOff>44450</xdr:rowOff>
    </xdr:to>
    <xdr:sp macro="[0]!Director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124950" y="1133475"/>
          <a:ext cx="1295400" cy="4286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 </a:t>
          </a:r>
          <a:r>
            <a:rPr lang="zh-CN" altLang="en-US" sz="20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502294</xdr:colOff>
      <xdr:row>39</xdr:row>
      <xdr:rowOff>57150</xdr:rowOff>
    </xdr:to>
    <xdr:pic>
      <xdr:nvPicPr>
        <xdr:cNvPr id="4" name="Picture 3" descr="Rocky Mountain Panorama High Res Stock Images | Shuttersto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323850</xdr:colOff>
      <xdr:row>6</xdr:row>
      <xdr:rowOff>57150</xdr:rowOff>
    </xdr:from>
    <xdr:to>
      <xdr:col>18</xdr:col>
      <xdr:colOff>123825</xdr:colOff>
      <xdr:row>8</xdr:row>
      <xdr:rowOff>47625</xdr:rowOff>
    </xdr:to>
    <xdr:sp macro="[0]!EnrTODi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077450" y="1200150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altLang="zh-CN" sz="2000" b="1">
            <a:latin typeface="Calibri" panose="020F0502020204030204" pitchFamily="34" charset="0"/>
          </a:endParaRPr>
        </a:p>
        <a:p>
          <a:pPr algn="l"/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4" name="Picture 3" descr="Rocky Mountain Panorama High Res Stock Images | Shuttersto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323850</xdr:colOff>
      <xdr:row>6</xdr:row>
      <xdr:rowOff>66675</xdr:rowOff>
    </xdr:from>
    <xdr:to>
      <xdr:col>16</xdr:col>
      <xdr:colOff>123825</xdr:colOff>
      <xdr:row>8</xdr:row>
      <xdr:rowOff>57150</xdr:rowOff>
    </xdr:to>
    <xdr:sp macro="[0]!Enrollment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829675" y="120967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464194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6</xdr:row>
      <xdr:rowOff>85725</xdr:rowOff>
    </xdr:from>
    <xdr:to>
      <xdr:col>15</xdr:col>
      <xdr:colOff>104775</xdr:colOff>
      <xdr:row>8</xdr:row>
      <xdr:rowOff>76200</xdr:rowOff>
    </xdr:to>
    <xdr:sp macro="[0]!OVervie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229600" y="122872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4" name="Picture 3" descr="Rocky Mountain Panorama High Res Stock Images | Shutterstock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142875</xdr:colOff>
      <xdr:row>6</xdr:row>
      <xdr:rowOff>76200</xdr:rowOff>
    </xdr:from>
    <xdr:to>
      <xdr:col>19</xdr:col>
      <xdr:colOff>552450</xdr:colOff>
      <xdr:row>8</xdr:row>
      <xdr:rowOff>66675</xdr:rowOff>
    </xdr:to>
    <xdr:sp macro="[0]!YesTOAppoin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15675" y="1219200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142875</xdr:colOff>
      <xdr:row>6</xdr:row>
      <xdr:rowOff>66675</xdr:rowOff>
    </xdr:from>
    <xdr:to>
      <xdr:col>16</xdr:col>
      <xdr:colOff>552450</xdr:colOff>
      <xdr:row>8</xdr:row>
      <xdr:rowOff>57150</xdr:rowOff>
    </xdr:to>
    <xdr:sp macro="[0]!CallstoTal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286875" y="120967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6</xdr:row>
      <xdr:rowOff>66675</xdr:rowOff>
    </xdr:from>
    <xdr:to>
      <xdr:col>13</xdr:col>
      <xdr:colOff>552450</xdr:colOff>
      <xdr:row>8</xdr:row>
      <xdr:rowOff>57150</xdr:rowOff>
    </xdr:to>
    <xdr:sp macro="[0]!Workday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86875" y="120967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</a:t>
          </a:r>
          <a:r>
            <a:rPr lang="zh-CN" altLang="en-US" sz="16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6</xdr:row>
      <xdr:rowOff>57150</xdr:rowOff>
    </xdr:from>
    <xdr:to>
      <xdr:col>15</xdr:col>
      <xdr:colOff>47625</xdr:colOff>
      <xdr:row>8</xdr:row>
      <xdr:rowOff>47625</xdr:rowOff>
    </xdr:to>
    <xdr:sp macro="[0]!Holiday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172450" y="1200150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</a:t>
          </a:r>
          <a:r>
            <a:rPr lang="zh-CN" altLang="en-US" sz="18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238125</xdr:colOff>
      <xdr:row>6</xdr:row>
      <xdr:rowOff>85725</xdr:rowOff>
    </xdr:from>
    <xdr:to>
      <xdr:col>16</xdr:col>
      <xdr:colOff>38100</xdr:colOff>
      <xdr:row>8</xdr:row>
      <xdr:rowOff>76200</xdr:rowOff>
    </xdr:to>
    <xdr:sp macro="[0]!Summary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772525" y="1228725"/>
          <a:ext cx="1019175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</a:t>
          </a:r>
          <a:r>
            <a:rPr lang="zh-CN" altLang="en-US" sz="2000" b="1">
              <a:latin typeface="Calibri" panose="020F0502020204030204" pitchFamily="34" charset="0"/>
            </a:rPr>
            <a:t>下一步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30</xdr:col>
      <xdr:colOff>540394</xdr:colOff>
      <xdr:row>39</xdr:row>
      <xdr:rowOff>57150</xdr:rowOff>
    </xdr:to>
    <xdr:pic>
      <xdr:nvPicPr>
        <xdr:cNvPr id="5" name="Picture 4" descr="Rocky Mountain Panorama High Res Stock Images | Shutterstock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3133725"/>
          <a:ext cx="18828394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142875</xdr:colOff>
      <xdr:row>15</xdr:row>
      <xdr:rowOff>19049</xdr:rowOff>
    </xdr:from>
    <xdr:to>
      <xdr:col>19</xdr:col>
      <xdr:colOff>466725</xdr:colOff>
      <xdr:row>16</xdr:row>
      <xdr:rowOff>114300</xdr:rowOff>
    </xdr:to>
    <xdr:sp macro="[0]!StartOv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791700" y="3171824"/>
          <a:ext cx="1543050" cy="447676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latin typeface="Calibri" panose="020F0502020204030204" pitchFamily="34" charset="0"/>
            </a:rPr>
            <a:t>    </a:t>
          </a:r>
          <a:r>
            <a:rPr lang="zh-CN" altLang="en-US" sz="2000" b="1">
              <a:latin typeface="Calibri" panose="020F0502020204030204" pitchFamily="34" charset="0"/>
            </a:rPr>
            <a:t>重新开始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142875</xdr:colOff>
      <xdr:row>11</xdr:row>
      <xdr:rowOff>228600</xdr:rowOff>
    </xdr:from>
    <xdr:to>
      <xdr:col>19</xdr:col>
      <xdr:colOff>466725</xdr:colOff>
      <xdr:row>13</xdr:row>
      <xdr:rowOff>247651</xdr:rowOff>
    </xdr:to>
    <xdr:sp macro="[0]!GetNumber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791700" y="2524125"/>
          <a:ext cx="1543050" cy="447676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2000" b="1">
              <a:latin typeface="Calibri" panose="020F0502020204030204" pitchFamily="34" charset="0"/>
            </a:rPr>
            <a:t>行动指引</a:t>
          </a:r>
          <a:endParaRPr lang="en-US" sz="2000" b="1"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114300</xdr:rowOff>
    </xdr:from>
    <xdr:to>
      <xdr:col>32</xdr:col>
      <xdr:colOff>35569</xdr:colOff>
      <xdr:row>36</xdr:row>
      <xdr:rowOff>28575</xdr:rowOff>
    </xdr:to>
    <xdr:pic>
      <xdr:nvPicPr>
        <xdr:cNvPr id="6" name="Picture 5" descr="Rocky Mountain Panorama High Res Stock Images | Shutterstock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2"/>
        <a:stretch/>
      </xdr:blipFill>
      <xdr:spPr bwMode="auto">
        <a:xfrm>
          <a:off x="0" y="2981325"/>
          <a:ext cx="21485869" cy="428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8:O59"/>
  <sheetViews>
    <sheetView showGridLines="0" showRowColHeaders="0" showZeros="0" tabSelected="1" topLeftCell="A4" zoomScale="90" zoomScaleNormal="90" workbookViewId="0">
      <selection activeCell="O10" sqref="O10"/>
    </sheetView>
  </sheetViews>
  <sheetFormatPr defaultColWidth="9.08984375" defaultRowHeight="14" x14ac:dyDescent="0.25"/>
  <cols>
    <col min="1" max="16384" width="9.08984375" style="1"/>
  </cols>
  <sheetData>
    <row r="8" spans="3:15" ht="26" thickBot="1" x14ac:dyDescent="0.5">
      <c r="C8" s="2"/>
      <c r="E8" s="4"/>
      <c r="G8" s="38" t="s">
        <v>5</v>
      </c>
      <c r="H8" s="38"/>
      <c r="I8" s="38"/>
      <c r="J8" s="38"/>
      <c r="K8" s="38"/>
      <c r="L8" s="37"/>
      <c r="M8" s="37"/>
      <c r="N8" s="37"/>
      <c r="O8" s="37"/>
    </row>
    <row r="9" spans="3:15" x14ac:dyDescent="0.25">
      <c r="C9" s="2"/>
      <c r="D9" s="2"/>
      <c r="E9" s="4"/>
      <c r="G9" s="2"/>
      <c r="H9" s="2"/>
      <c r="I9" s="2"/>
      <c r="J9" s="2"/>
    </row>
    <row r="10" spans="3:15" x14ac:dyDescent="0.25">
      <c r="C10" s="2"/>
      <c r="D10" s="2"/>
      <c r="E10" s="4"/>
      <c r="G10" s="2"/>
      <c r="H10" s="2"/>
      <c r="I10" s="2"/>
      <c r="J10" s="2"/>
    </row>
    <row r="11" spans="3:15" x14ac:dyDescent="0.25">
      <c r="C11" s="2"/>
      <c r="D11" s="2"/>
      <c r="E11" s="4" t="s">
        <v>32</v>
      </c>
      <c r="G11" s="2"/>
      <c r="H11" s="2"/>
      <c r="I11" s="2"/>
      <c r="J11" s="2"/>
    </row>
    <row r="12" spans="3:15" x14ac:dyDescent="0.25">
      <c r="C12" s="2"/>
      <c r="D12" s="2"/>
      <c r="E12" s="4" t="s">
        <v>33</v>
      </c>
      <c r="G12" s="2"/>
      <c r="H12" s="2"/>
      <c r="I12" s="2"/>
      <c r="J12" s="2"/>
    </row>
    <row r="13" spans="3:15" x14ac:dyDescent="0.25">
      <c r="C13" s="2"/>
      <c r="D13" s="2"/>
      <c r="E13" s="4" t="s">
        <v>34</v>
      </c>
      <c r="G13" s="2"/>
      <c r="H13" s="2"/>
      <c r="I13" s="2"/>
      <c r="J13" s="2"/>
    </row>
    <row r="14" spans="3:15" x14ac:dyDescent="0.25">
      <c r="C14" s="2"/>
      <c r="D14" s="2"/>
      <c r="E14" s="4" t="s">
        <v>35</v>
      </c>
      <c r="G14" s="2"/>
      <c r="H14" s="2"/>
      <c r="I14" s="2"/>
      <c r="J14" s="2"/>
    </row>
    <row r="15" spans="3:15" x14ac:dyDescent="0.25">
      <c r="C15" s="2"/>
      <c r="D15" s="2"/>
      <c r="E15" s="4" t="s">
        <v>36</v>
      </c>
      <c r="G15" s="2"/>
      <c r="H15" s="2"/>
      <c r="I15" s="2"/>
      <c r="J15" s="2"/>
    </row>
    <row r="16" spans="3:15" x14ac:dyDescent="0.25">
      <c r="E16" s="4" t="s">
        <v>37</v>
      </c>
      <c r="F16" s="2"/>
    </row>
    <row r="17" spans="5:6" x14ac:dyDescent="0.25">
      <c r="E17" s="4" t="s">
        <v>38</v>
      </c>
      <c r="F17" s="2"/>
    </row>
    <row r="18" spans="5:6" x14ac:dyDescent="0.25">
      <c r="E18" s="4" t="s">
        <v>39</v>
      </c>
      <c r="F18" s="2"/>
    </row>
    <row r="19" spans="5:6" x14ac:dyDescent="0.25">
      <c r="E19" s="4" t="s">
        <v>40</v>
      </c>
      <c r="F19" s="2"/>
    </row>
    <row r="20" spans="5:6" x14ac:dyDescent="0.25">
      <c r="E20" s="4" t="s">
        <v>41</v>
      </c>
      <c r="F20" s="2"/>
    </row>
    <row r="21" spans="5:6" x14ac:dyDescent="0.25">
      <c r="E21" s="4" t="s">
        <v>42</v>
      </c>
      <c r="F21" s="2"/>
    </row>
    <row r="22" spans="5:6" x14ac:dyDescent="0.25">
      <c r="E22" s="4" t="s">
        <v>43</v>
      </c>
      <c r="F22" s="2"/>
    </row>
    <row r="23" spans="5:6" x14ac:dyDescent="0.25">
      <c r="E23" s="4" t="s">
        <v>44</v>
      </c>
      <c r="F23" s="2"/>
    </row>
    <row r="24" spans="5:6" x14ac:dyDescent="0.25">
      <c r="E24" s="4" t="s">
        <v>45</v>
      </c>
    </row>
    <row r="25" spans="5:6" x14ac:dyDescent="0.25">
      <c r="E25" s="4" t="s">
        <v>46</v>
      </c>
    </row>
    <row r="26" spans="5:6" x14ac:dyDescent="0.25">
      <c r="E26" s="4" t="s">
        <v>47</v>
      </c>
    </row>
    <row r="27" spans="5:6" x14ac:dyDescent="0.25">
      <c r="E27" s="4" t="s">
        <v>48</v>
      </c>
    </row>
    <row r="28" spans="5:6" x14ac:dyDescent="0.25">
      <c r="E28" s="4" t="s">
        <v>49</v>
      </c>
    </row>
    <row r="29" spans="5:6" x14ac:dyDescent="0.25">
      <c r="E29" s="4" t="s">
        <v>50</v>
      </c>
    </row>
    <row r="30" spans="5:6" x14ac:dyDescent="0.25">
      <c r="E30" s="4" t="s">
        <v>51</v>
      </c>
    </row>
    <row r="31" spans="5:6" x14ac:dyDescent="0.25">
      <c r="E31" s="4" t="s">
        <v>52</v>
      </c>
    </row>
    <row r="32" spans="5:6" x14ac:dyDescent="0.25">
      <c r="E32" s="4" t="s">
        <v>53</v>
      </c>
    </row>
    <row r="33" spans="5:5" x14ac:dyDescent="0.25">
      <c r="E33" s="4" t="s">
        <v>54</v>
      </c>
    </row>
    <row r="34" spans="5:5" x14ac:dyDescent="0.25">
      <c r="E34" s="4" t="s">
        <v>55</v>
      </c>
    </row>
    <row r="35" spans="5:5" x14ac:dyDescent="0.25">
      <c r="E35" s="4" t="s">
        <v>56</v>
      </c>
    </row>
    <row r="36" spans="5:5" x14ac:dyDescent="0.25">
      <c r="E36" s="4" t="s">
        <v>57</v>
      </c>
    </row>
    <row r="37" spans="5:5" x14ac:dyDescent="0.25">
      <c r="E37" s="4" t="s">
        <v>58</v>
      </c>
    </row>
    <row r="38" spans="5:5" x14ac:dyDescent="0.25">
      <c r="E38" s="4" t="s">
        <v>59</v>
      </c>
    </row>
    <row r="39" spans="5:5" x14ac:dyDescent="0.25">
      <c r="E39" s="4" t="s">
        <v>60</v>
      </c>
    </row>
    <row r="40" spans="5:5" x14ac:dyDescent="0.25">
      <c r="E40" s="4" t="s">
        <v>61</v>
      </c>
    </row>
    <row r="41" spans="5:5" x14ac:dyDescent="0.25">
      <c r="E41" s="4" t="s">
        <v>62</v>
      </c>
    </row>
    <row r="42" spans="5:5" x14ac:dyDescent="0.25">
      <c r="E42" s="4" t="s">
        <v>63</v>
      </c>
    </row>
    <row r="43" spans="5:5" x14ac:dyDescent="0.25">
      <c r="E43" s="4" t="s">
        <v>64</v>
      </c>
    </row>
    <row r="44" spans="5:5" x14ac:dyDescent="0.25">
      <c r="E44" s="4" t="s">
        <v>65</v>
      </c>
    </row>
    <row r="45" spans="5:5" x14ac:dyDescent="0.25">
      <c r="E45" s="4" t="s">
        <v>66</v>
      </c>
    </row>
    <row r="46" spans="5:5" x14ac:dyDescent="0.25">
      <c r="E46" s="4" t="s">
        <v>67</v>
      </c>
    </row>
    <row r="47" spans="5:5" x14ac:dyDescent="0.25">
      <c r="E47" s="4" t="s">
        <v>68</v>
      </c>
    </row>
    <row r="48" spans="5:5" x14ac:dyDescent="0.25">
      <c r="E48" s="4" t="s">
        <v>69</v>
      </c>
    </row>
    <row r="49" spans="5:5" x14ac:dyDescent="0.25">
      <c r="E49" s="4" t="s">
        <v>70</v>
      </c>
    </row>
    <row r="50" spans="5:5" x14ac:dyDescent="0.25">
      <c r="E50" s="4" t="s">
        <v>71</v>
      </c>
    </row>
    <row r="51" spans="5:5" x14ac:dyDescent="0.25">
      <c r="E51" s="4" t="s">
        <v>72</v>
      </c>
    </row>
    <row r="52" spans="5:5" x14ac:dyDescent="0.25">
      <c r="E52" s="4" t="s">
        <v>73</v>
      </c>
    </row>
    <row r="53" spans="5:5" x14ac:dyDescent="0.25">
      <c r="E53" s="4" t="s">
        <v>74</v>
      </c>
    </row>
    <row r="54" spans="5:5" x14ac:dyDescent="0.25">
      <c r="E54" s="4" t="s">
        <v>75</v>
      </c>
    </row>
    <row r="55" spans="5:5" x14ac:dyDescent="0.25">
      <c r="E55" s="4" t="s">
        <v>76</v>
      </c>
    </row>
    <row r="56" spans="5:5" x14ac:dyDescent="0.25">
      <c r="E56" s="4" t="s">
        <v>77</v>
      </c>
    </row>
    <row r="57" spans="5:5" x14ac:dyDescent="0.25">
      <c r="E57" s="4" t="s">
        <v>78</v>
      </c>
    </row>
    <row r="58" spans="5:5" x14ac:dyDescent="0.25">
      <c r="E58" s="4" t="s">
        <v>79</v>
      </c>
    </row>
    <row r="59" spans="5:5" x14ac:dyDescent="0.25">
      <c r="E59" s="4" t="s">
        <v>80</v>
      </c>
    </row>
  </sheetData>
  <sheetProtection selectLockedCells="1"/>
  <mergeCells count="2">
    <mergeCell ref="L8:O8"/>
    <mergeCell ref="G8:K8"/>
  </mergeCells>
  <phoneticPr fontId="12" type="noConversion"/>
  <dataValidations count="1">
    <dataValidation type="list" allowBlank="1" showInputMessage="1" showErrorMessage="1" sqref="L8:O8" xr:uid="{00000000-0002-0000-0000-000000000000}">
      <formula1>$E$11:$E$59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howOutlineSymbols="0"/>
  </sheetPr>
  <dimension ref="E2:S103"/>
  <sheetViews>
    <sheetView showGridLines="0" showRowColHeaders="0" showZeros="0" showOutlineSymbols="0" zoomScaleNormal="100" workbookViewId="0">
      <selection activeCell="K8" sqref="K8:N8"/>
    </sheetView>
  </sheetViews>
  <sheetFormatPr defaultColWidth="9.08984375" defaultRowHeight="14" x14ac:dyDescent="0.25"/>
  <cols>
    <col min="1" max="3" width="9.08984375" style="2"/>
    <col min="4" max="4" width="10.7265625" style="2" bestFit="1" customWidth="1"/>
    <col min="5" max="5" width="11.08984375" style="2" customWidth="1"/>
    <col min="6" max="6" width="3.90625" style="2" customWidth="1"/>
    <col min="7" max="17" width="9.08984375" style="2"/>
    <col min="18" max="18" width="12.453125" style="2" bestFit="1" customWidth="1"/>
    <col min="19" max="16384" width="9.08984375" style="2"/>
  </cols>
  <sheetData>
    <row r="2" spans="5:19" x14ac:dyDescent="0.25">
      <c r="Q2" s="4"/>
      <c r="R2" s="36">
        <v>44562</v>
      </c>
      <c r="S2" s="4"/>
    </row>
    <row r="3" spans="5:19" x14ac:dyDescent="0.25">
      <c r="Q3" s="4"/>
      <c r="R3" s="36">
        <v>44593</v>
      </c>
      <c r="S3" s="4"/>
    </row>
    <row r="4" spans="5:19" x14ac:dyDescent="0.25">
      <c r="Q4" s="4"/>
      <c r="R4" s="36">
        <v>44621</v>
      </c>
      <c r="S4" s="4"/>
    </row>
    <row r="5" spans="5:19" x14ac:dyDescent="0.25">
      <c r="Q5" s="4"/>
      <c r="R5" s="36">
        <v>44652</v>
      </c>
      <c r="S5" s="4"/>
    </row>
    <row r="6" spans="5:19" x14ac:dyDescent="0.25">
      <c r="Q6" s="4"/>
      <c r="R6" s="36">
        <v>44682</v>
      </c>
      <c r="S6" s="4"/>
    </row>
    <row r="7" spans="5:19" x14ac:dyDescent="0.25">
      <c r="Q7" s="4"/>
      <c r="R7" s="36">
        <v>44713</v>
      </c>
      <c r="S7" s="4"/>
    </row>
    <row r="8" spans="5:19" ht="21.5" thickBot="1" x14ac:dyDescent="0.45">
      <c r="E8" s="3" t="s">
        <v>6</v>
      </c>
      <c r="K8" s="39"/>
      <c r="L8" s="39"/>
      <c r="M8" s="39"/>
      <c r="N8" s="39"/>
      <c r="Q8" s="4"/>
      <c r="R8" s="36">
        <v>44743</v>
      </c>
      <c r="S8" s="4"/>
    </row>
    <row r="9" spans="5:19" x14ac:dyDescent="0.25">
      <c r="Q9" s="4"/>
      <c r="R9" s="36">
        <v>44774</v>
      </c>
      <c r="S9" s="4"/>
    </row>
    <row r="10" spans="5:19" x14ac:dyDescent="0.25">
      <c r="Q10" s="4"/>
      <c r="R10" s="36">
        <v>44805</v>
      </c>
      <c r="S10" s="4"/>
    </row>
    <row r="11" spans="5:19" ht="17.5" x14ac:dyDescent="0.25">
      <c r="F11" s="32"/>
      <c r="G11" s="32"/>
      <c r="H11" s="33" t="str">
        <f>IF(K8&gt;0,"* 距离您的目标还有 ","")</f>
        <v/>
      </c>
      <c r="I11" s="34" t="str">
        <f ca="1">IFERROR(行动指引!N14,"")</f>
        <v/>
      </c>
      <c r="J11" s="32" t="str">
        <f>IF(K8&gt;0,"天，加油！","")</f>
        <v/>
      </c>
      <c r="Q11" s="4"/>
      <c r="R11" s="36">
        <v>44835</v>
      </c>
      <c r="S11" s="4"/>
    </row>
    <row r="12" spans="5:19" x14ac:dyDescent="0.25">
      <c r="Q12" s="4"/>
      <c r="R12" s="36">
        <v>44866</v>
      </c>
      <c r="S12" s="4"/>
    </row>
    <row r="13" spans="5:19" x14ac:dyDescent="0.25">
      <c r="Q13" s="4"/>
      <c r="R13" s="36">
        <v>44896</v>
      </c>
      <c r="S13" s="4"/>
    </row>
    <row r="14" spans="5:19" x14ac:dyDescent="0.25">
      <c r="Q14" s="4"/>
      <c r="R14" s="36">
        <v>44927</v>
      </c>
      <c r="S14" s="4"/>
    </row>
    <row r="15" spans="5:19" x14ac:dyDescent="0.25">
      <c r="Q15" s="4"/>
      <c r="R15" s="36">
        <v>44958</v>
      </c>
      <c r="S15" s="4"/>
    </row>
    <row r="16" spans="5:19" x14ac:dyDescent="0.25">
      <c r="Q16" s="4"/>
      <c r="R16" s="36">
        <v>44986</v>
      </c>
      <c r="S16" s="4"/>
    </row>
    <row r="17" spans="17:19" x14ac:dyDescent="0.25">
      <c r="Q17" s="4"/>
      <c r="R17" s="36">
        <v>45017</v>
      </c>
      <c r="S17" s="4"/>
    </row>
    <row r="18" spans="17:19" x14ac:dyDescent="0.25">
      <c r="Q18" s="4"/>
      <c r="R18" s="36">
        <v>45047</v>
      </c>
      <c r="S18" s="4"/>
    </row>
    <row r="19" spans="17:19" x14ac:dyDescent="0.25">
      <c r="Q19" s="4"/>
      <c r="R19" s="36">
        <v>45078</v>
      </c>
      <c r="S19" s="4"/>
    </row>
    <row r="20" spans="17:19" x14ac:dyDescent="0.25">
      <c r="Q20" s="4"/>
      <c r="R20" s="36">
        <v>45108</v>
      </c>
      <c r="S20" s="4"/>
    </row>
    <row r="21" spans="17:19" x14ac:dyDescent="0.25">
      <c r="Q21" s="4"/>
      <c r="R21" s="36">
        <v>45139</v>
      </c>
      <c r="S21" s="4"/>
    </row>
    <row r="22" spans="17:19" x14ac:dyDescent="0.25">
      <c r="Q22" s="4"/>
      <c r="R22" s="36">
        <v>45170</v>
      </c>
      <c r="S22" s="4"/>
    </row>
    <row r="23" spans="17:19" x14ac:dyDescent="0.25">
      <c r="Q23" s="4"/>
      <c r="R23" s="36">
        <v>45200</v>
      </c>
      <c r="S23" s="4"/>
    </row>
    <row r="24" spans="17:19" x14ac:dyDescent="0.25">
      <c r="Q24" s="4"/>
      <c r="R24" s="36">
        <v>45231</v>
      </c>
      <c r="S24" s="4"/>
    </row>
    <row r="25" spans="17:19" x14ac:dyDescent="0.25">
      <c r="Q25" s="4"/>
      <c r="R25" s="36">
        <v>45261</v>
      </c>
      <c r="S25" s="4"/>
    </row>
    <row r="26" spans="17:19" x14ac:dyDescent="0.25">
      <c r="Q26" s="4"/>
      <c r="R26" s="36">
        <v>45292</v>
      </c>
      <c r="S26" s="4"/>
    </row>
    <row r="27" spans="17:19" x14ac:dyDescent="0.25">
      <c r="Q27" s="4"/>
      <c r="R27" s="36">
        <v>45323</v>
      </c>
      <c r="S27" s="4"/>
    </row>
    <row r="28" spans="17:19" x14ac:dyDescent="0.25">
      <c r="Q28" s="4"/>
      <c r="R28" s="36">
        <v>45352</v>
      </c>
      <c r="S28" s="4"/>
    </row>
    <row r="29" spans="17:19" x14ac:dyDescent="0.25">
      <c r="Q29" s="4"/>
      <c r="R29" s="36">
        <v>45383</v>
      </c>
      <c r="S29" s="4"/>
    </row>
    <row r="30" spans="17:19" x14ac:dyDescent="0.25">
      <c r="Q30" s="4"/>
      <c r="R30" s="36">
        <v>45413</v>
      </c>
      <c r="S30" s="4"/>
    </row>
    <row r="31" spans="17:19" x14ac:dyDescent="0.25">
      <c r="Q31" s="4"/>
      <c r="R31" s="36">
        <v>45444</v>
      </c>
      <c r="S31" s="4"/>
    </row>
    <row r="32" spans="17:19" x14ac:dyDescent="0.25">
      <c r="Q32" s="4"/>
      <c r="R32" s="36">
        <v>45474</v>
      </c>
      <c r="S32" s="4"/>
    </row>
    <row r="33" spans="17:19" x14ac:dyDescent="0.25">
      <c r="Q33" s="4"/>
      <c r="R33" s="36">
        <v>45505</v>
      </c>
      <c r="S33" s="4"/>
    </row>
    <row r="34" spans="17:19" x14ac:dyDescent="0.25">
      <c r="Q34" s="4"/>
      <c r="R34" s="36">
        <v>45536</v>
      </c>
      <c r="S34" s="4"/>
    </row>
    <row r="35" spans="17:19" x14ac:dyDescent="0.25">
      <c r="Q35" s="4"/>
      <c r="R35" s="36">
        <v>45566</v>
      </c>
      <c r="S35" s="4"/>
    </row>
    <row r="36" spans="17:19" x14ac:dyDescent="0.25">
      <c r="Q36" s="4"/>
      <c r="R36" s="36">
        <v>45597</v>
      </c>
      <c r="S36" s="4"/>
    </row>
    <row r="37" spans="17:19" x14ac:dyDescent="0.25">
      <c r="Q37" s="4"/>
      <c r="R37" s="36">
        <v>45627</v>
      </c>
      <c r="S37" s="4"/>
    </row>
    <row r="38" spans="17:19" x14ac:dyDescent="0.25">
      <c r="Q38" s="4"/>
      <c r="R38" s="36">
        <v>45658</v>
      </c>
      <c r="S38" s="4"/>
    </row>
    <row r="39" spans="17:19" x14ac:dyDescent="0.25">
      <c r="Q39" s="4"/>
      <c r="R39" s="36">
        <v>45689</v>
      </c>
      <c r="S39" s="4"/>
    </row>
    <row r="40" spans="17:19" x14ac:dyDescent="0.25">
      <c r="Q40" s="4"/>
      <c r="R40" s="36">
        <v>45717</v>
      </c>
      <c r="S40" s="4"/>
    </row>
    <row r="41" spans="17:19" x14ac:dyDescent="0.25">
      <c r="Q41" s="4"/>
      <c r="R41" s="36">
        <v>45748</v>
      </c>
      <c r="S41" s="4"/>
    </row>
    <row r="42" spans="17:19" x14ac:dyDescent="0.25">
      <c r="Q42" s="4"/>
      <c r="R42" s="36">
        <v>45778</v>
      </c>
      <c r="S42" s="4"/>
    </row>
    <row r="43" spans="17:19" x14ac:dyDescent="0.25">
      <c r="Q43" s="4"/>
      <c r="R43" s="36">
        <v>45809</v>
      </c>
      <c r="S43" s="4"/>
    </row>
    <row r="44" spans="17:19" x14ac:dyDescent="0.25">
      <c r="Q44" s="4"/>
      <c r="R44" s="36">
        <v>45839</v>
      </c>
      <c r="S44" s="4"/>
    </row>
    <row r="45" spans="17:19" x14ac:dyDescent="0.25">
      <c r="Q45" s="4"/>
      <c r="R45" s="36">
        <v>45870</v>
      </c>
      <c r="S45" s="4"/>
    </row>
    <row r="46" spans="17:19" x14ac:dyDescent="0.25">
      <c r="Q46" s="4"/>
      <c r="R46" s="36">
        <v>45901</v>
      </c>
      <c r="S46" s="4"/>
    </row>
    <row r="47" spans="17:19" x14ac:dyDescent="0.25">
      <c r="Q47" s="4"/>
      <c r="R47" s="36">
        <v>45931</v>
      </c>
      <c r="S47" s="4"/>
    </row>
    <row r="48" spans="17:19" x14ac:dyDescent="0.25">
      <c r="Q48" s="4"/>
      <c r="R48" s="36">
        <v>45962</v>
      </c>
      <c r="S48" s="4"/>
    </row>
    <row r="49" spans="17:19" x14ac:dyDescent="0.25">
      <c r="Q49" s="4"/>
      <c r="R49" s="36">
        <v>45992</v>
      </c>
      <c r="S49" s="4"/>
    </row>
    <row r="50" spans="17:19" x14ac:dyDescent="0.25">
      <c r="Q50" s="4"/>
      <c r="R50" s="36">
        <v>46023</v>
      </c>
      <c r="S50" s="4"/>
    </row>
    <row r="51" spans="17:19" x14ac:dyDescent="0.25">
      <c r="Q51" s="4"/>
      <c r="R51" s="36">
        <v>46054</v>
      </c>
      <c r="S51" s="4"/>
    </row>
    <row r="52" spans="17:19" x14ac:dyDescent="0.25">
      <c r="Q52" s="4"/>
      <c r="R52" s="36">
        <v>46082</v>
      </c>
      <c r="S52" s="4"/>
    </row>
    <row r="53" spans="17:19" x14ac:dyDescent="0.25">
      <c r="Q53" s="4"/>
      <c r="R53" s="36">
        <v>46113</v>
      </c>
      <c r="S53" s="4"/>
    </row>
    <row r="54" spans="17:19" x14ac:dyDescent="0.25">
      <c r="Q54" s="4"/>
      <c r="R54" s="36">
        <v>46143</v>
      </c>
      <c r="S54" s="4"/>
    </row>
    <row r="55" spans="17:19" x14ac:dyDescent="0.25">
      <c r="Q55" s="4"/>
      <c r="R55" s="36">
        <v>46174</v>
      </c>
      <c r="S55" s="4"/>
    </row>
    <row r="56" spans="17:19" x14ac:dyDescent="0.25">
      <c r="Q56" s="4"/>
      <c r="R56" s="36">
        <v>46204</v>
      </c>
      <c r="S56" s="4"/>
    </row>
    <row r="57" spans="17:19" x14ac:dyDescent="0.25">
      <c r="Q57" s="4"/>
      <c r="R57" s="36">
        <v>46235</v>
      </c>
      <c r="S57" s="4"/>
    </row>
    <row r="58" spans="17:19" x14ac:dyDescent="0.25">
      <c r="Q58" s="4"/>
      <c r="R58" s="36">
        <v>46266</v>
      </c>
      <c r="S58" s="4"/>
    </row>
    <row r="59" spans="17:19" x14ac:dyDescent="0.25">
      <c r="Q59" s="4"/>
      <c r="R59" s="36">
        <v>46296</v>
      </c>
      <c r="S59" s="4"/>
    </row>
    <row r="60" spans="17:19" x14ac:dyDescent="0.25">
      <c r="Q60" s="4"/>
      <c r="R60" s="36">
        <v>46327</v>
      </c>
      <c r="S60" s="4"/>
    </row>
    <row r="61" spans="17:19" x14ac:dyDescent="0.25">
      <c r="Q61" s="4"/>
      <c r="R61" s="36">
        <v>46357</v>
      </c>
      <c r="S61" s="4"/>
    </row>
    <row r="62" spans="17:19" x14ac:dyDescent="0.25">
      <c r="Q62" s="4"/>
      <c r="R62" s="36">
        <v>46388</v>
      </c>
      <c r="S62" s="4"/>
    </row>
    <row r="63" spans="17:19" x14ac:dyDescent="0.25">
      <c r="Q63" s="4"/>
      <c r="R63" s="36">
        <v>46419</v>
      </c>
      <c r="S63" s="4"/>
    </row>
    <row r="64" spans="17:19" x14ac:dyDescent="0.25">
      <c r="Q64" s="4"/>
      <c r="R64" s="36">
        <v>46447</v>
      </c>
      <c r="S64" s="4"/>
    </row>
    <row r="65" spans="17:19" x14ac:dyDescent="0.25">
      <c r="Q65" s="4"/>
      <c r="R65" s="36">
        <v>46478</v>
      </c>
      <c r="S65" s="4"/>
    </row>
    <row r="66" spans="17:19" x14ac:dyDescent="0.25">
      <c r="Q66" s="4"/>
      <c r="R66" s="36">
        <v>46508</v>
      </c>
      <c r="S66" s="4"/>
    </row>
    <row r="67" spans="17:19" x14ac:dyDescent="0.25">
      <c r="Q67" s="4"/>
      <c r="R67" s="36">
        <v>46539</v>
      </c>
      <c r="S67" s="4"/>
    </row>
    <row r="68" spans="17:19" x14ac:dyDescent="0.25">
      <c r="Q68" s="4"/>
      <c r="R68" s="36">
        <v>46569</v>
      </c>
      <c r="S68" s="4"/>
    </row>
    <row r="69" spans="17:19" x14ac:dyDescent="0.25">
      <c r="Q69" s="4"/>
      <c r="R69" s="36">
        <v>46600</v>
      </c>
      <c r="S69" s="4"/>
    </row>
    <row r="70" spans="17:19" x14ac:dyDescent="0.25">
      <c r="Q70" s="4"/>
      <c r="R70" s="36">
        <v>46631</v>
      </c>
      <c r="S70" s="4"/>
    </row>
    <row r="71" spans="17:19" x14ac:dyDescent="0.25">
      <c r="Q71" s="4"/>
      <c r="R71" s="36">
        <v>46661</v>
      </c>
      <c r="S71" s="4"/>
    </row>
    <row r="72" spans="17:19" x14ac:dyDescent="0.25">
      <c r="Q72" s="4"/>
      <c r="R72" s="36">
        <v>46692</v>
      </c>
      <c r="S72" s="4"/>
    </row>
    <row r="73" spans="17:19" x14ac:dyDescent="0.25">
      <c r="Q73" s="4"/>
      <c r="R73" s="36">
        <v>46722</v>
      </c>
      <c r="S73" s="4"/>
    </row>
    <row r="74" spans="17:19" x14ac:dyDescent="0.25">
      <c r="Q74" s="4"/>
      <c r="R74" s="36">
        <v>46753</v>
      </c>
      <c r="S74" s="4"/>
    </row>
    <row r="75" spans="17:19" x14ac:dyDescent="0.25">
      <c r="Q75" s="4"/>
      <c r="R75" s="36">
        <v>46784</v>
      </c>
      <c r="S75" s="4"/>
    </row>
    <row r="76" spans="17:19" x14ac:dyDescent="0.25">
      <c r="Q76" s="4"/>
      <c r="R76" s="36">
        <v>46813</v>
      </c>
      <c r="S76" s="4"/>
    </row>
    <row r="77" spans="17:19" x14ac:dyDescent="0.25">
      <c r="Q77" s="4"/>
      <c r="R77" s="36">
        <v>46844</v>
      </c>
      <c r="S77" s="4"/>
    </row>
    <row r="78" spans="17:19" x14ac:dyDescent="0.25">
      <c r="Q78" s="4"/>
      <c r="R78" s="36">
        <v>46874</v>
      </c>
      <c r="S78" s="4"/>
    </row>
    <row r="79" spans="17:19" x14ac:dyDescent="0.25">
      <c r="Q79" s="4"/>
      <c r="R79" s="36">
        <v>46905</v>
      </c>
      <c r="S79" s="4"/>
    </row>
    <row r="80" spans="17:19" x14ac:dyDescent="0.25">
      <c r="Q80" s="4"/>
      <c r="R80" s="36">
        <v>46935</v>
      </c>
      <c r="S80" s="4"/>
    </row>
    <row r="81" spans="17:19" x14ac:dyDescent="0.25">
      <c r="Q81" s="4"/>
      <c r="R81" s="36">
        <v>46966</v>
      </c>
      <c r="S81" s="4"/>
    </row>
    <row r="82" spans="17:19" x14ac:dyDescent="0.25">
      <c r="Q82" s="4"/>
      <c r="R82" s="36">
        <v>46997</v>
      </c>
      <c r="S82" s="4"/>
    </row>
    <row r="83" spans="17:19" x14ac:dyDescent="0.25">
      <c r="Q83" s="4"/>
      <c r="R83" s="36">
        <v>47027</v>
      </c>
      <c r="S83" s="4"/>
    </row>
    <row r="84" spans="17:19" x14ac:dyDescent="0.25">
      <c r="Q84" s="4"/>
      <c r="R84" s="36">
        <v>47058</v>
      </c>
      <c r="S84" s="4"/>
    </row>
    <row r="85" spans="17:19" x14ac:dyDescent="0.25">
      <c r="Q85" s="4"/>
      <c r="R85" s="36">
        <v>47088</v>
      </c>
      <c r="S85" s="4"/>
    </row>
    <row r="86" spans="17:19" x14ac:dyDescent="0.25">
      <c r="Q86" s="4"/>
      <c r="R86" s="36">
        <v>47119</v>
      </c>
      <c r="S86" s="4"/>
    </row>
    <row r="87" spans="17:19" x14ac:dyDescent="0.25">
      <c r="Q87" s="4"/>
      <c r="R87" s="36">
        <v>47150</v>
      </c>
      <c r="S87" s="4"/>
    </row>
    <row r="88" spans="17:19" x14ac:dyDescent="0.25">
      <c r="Q88" s="4"/>
      <c r="R88" s="36">
        <v>47178</v>
      </c>
      <c r="S88" s="4"/>
    </row>
    <row r="89" spans="17:19" x14ac:dyDescent="0.25">
      <c r="Q89" s="4"/>
      <c r="R89" s="36">
        <v>47209</v>
      </c>
      <c r="S89" s="4"/>
    </row>
    <row r="90" spans="17:19" x14ac:dyDescent="0.25">
      <c r="Q90" s="4"/>
      <c r="R90" s="36">
        <v>47239</v>
      </c>
      <c r="S90" s="4"/>
    </row>
    <row r="91" spans="17:19" x14ac:dyDescent="0.25">
      <c r="Q91" s="4"/>
      <c r="R91" s="36">
        <v>47270</v>
      </c>
      <c r="S91" s="4"/>
    </row>
    <row r="92" spans="17:19" x14ac:dyDescent="0.25">
      <c r="Q92" s="4"/>
      <c r="R92" s="36">
        <v>47300</v>
      </c>
      <c r="S92" s="4"/>
    </row>
    <row r="93" spans="17:19" x14ac:dyDescent="0.25">
      <c r="Q93" s="4"/>
      <c r="R93" s="36">
        <v>47331</v>
      </c>
      <c r="S93" s="4"/>
    </row>
    <row r="94" spans="17:19" x14ac:dyDescent="0.25">
      <c r="Q94" s="4"/>
      <c r="R94" s="36">
        <v>47362</v>
      </c>
      <c r="S94" s="4"/>
    </row>
    <row r="95" spans="17:19" x14ac:dyDescent="0.25">
      <c r="Q95" s="4"/>
      <c r="R95" s="36">
        <v>47392</v>
      </c>
      <c r="S95" s="4"/>
    </row>
    <row r="96" spans="17:19" x14ac:dyDescent="0.25">
      <c r="Q96" s="4"/>
      <c r="R96" s="36">
        <v>47423</v>
      </c>
      <c r="S96" s="4"/>
    </row>
    <row r="97" spans="18:18" x14ac:dyDescent="0.25">
      <c r="R97" s="36">
        <v>47453</v>
      </c>
    </row>
    <row r="98" spans="18:18" x14ac:dyDescent="0.25">
      <c r="R98" s="36">
        <v>47484</v>
      </c>
    </row>
    <row r="99" spans="18:18" x14ac:dyDescent="0.25">
      <c r="R99" s="36">
        <v>47515</v>
      </c>
    </row>
    <row r="100" spans="18:18" x14ac:dyDescent="0.25">
      <c r="R100" s="36">
        <v>47543</v>
      </c>
    </row>
    <row r="101" spans="18:18" x14ac:dyDescent="0.25">
      <c r="R101" s="36">
        <v>47574</v>
      </c>
    </row>
    <row r="102" spans="18:18" x14ac:dyDescent="0.25">
      <c r="R102" s="36"/>
    </row>
    <row r="103" spans="18:18" x14ac:dyDescent="0.25">
      <c r="R103" s="36"/>
    </row>
  </sheetData>
  <sheetProtection sheet="1" selectLockedCells="1"/>
  <mergeCells count="1">
    <mergeCell ref="K8:N8"/>
  </mergeCells>
  <phoneticPr fontId="12" type="noConversion"/>
  <dataValidations count="1">
    <dataValidation type="list" allowBlank="1" showInputMessage="1" showErrorMessage="1" sqref="K8:N8" xr:uid="{00000000-0002-0000-0100-000000000000}">
      <formula1>$R$2:$R$96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howOutlineSymbols="0"/>
  </sheetPr>
  <dimension ref="D8:P10"/>
  <sheetViews>
    <sheetView showGridLines="0" showRowColHeaders="0" showZeros="0" showOutlineSymbols="0" zoomScaleNormal="100" workbookViewId="0">
      <selection activeCell="P8" sqref="P8"/>
    </sheetView>
  </sheetViews>
  <sheetFormatPr defaultColWidth="9.08984375" defaultRowHeight="14" x14ac:dyDescent="0.25"/>
  <cols>
    <col min="1" max="16384" width="9.08984375" style="2"/>
  </cols>
  <sheetData>
    <row r="8" spans="4:16" ht="21.5" thickBot="1" x14ac:dyDescent="0.45">
      <c r="D8" s="3"/>
      <c r="H8" s="40" t="s">
        <v>16</v>
      </c>
      <c r="I8" s="40"/>
      <c r="J8" s="40"/>
      <c r="K8" s="40"/>
      <c r="L8" s="40"/>
      <c r="M8" s="40"/>
      <c r="N8" s="40"/>
      <c r="O8" s="40"/>
      <c r="P8" s="8">
        <v>5</v>
      </c>
    </row>
    <row r="10" spans="4:16" ht="13.5" customHeight="1" x14ac:dyDescent="0.25">
      <c r="J10" s="41" t="s">
        <v>17</v>
      </c>
      <c r="K10" s="41"/>
      <c r="L10" s="41"/>
      <c r="M10" s="41"/>
      <c r="N10" s="41"/>
      <c r="O10" s="41"/>
      <c r="P10" s="41"/>
    </row>
  </sheetData>
  <sheetProtection selectLockedCells="1"/>
  <mergeCells count="2">
    <mergeCell ref="H8:O8"/>
    <mergeCell ref="J10:P10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howOutlineSymbols="0"/>
  </sheetPr>
  <dimension ref="F8:N12"/>
  <sheetViews>
    <sheetView showGridLines="0" showRowColHeaders="0" showZeros="0" showOutlineSymbols="0" workbookViewId="0">
      <selection activeCell="N8" sqref="N8"/>
    </sheetView>
  </sheetViews>
  <sheetFormatPr defaultColWidth="9.08984375" defaultRowHeight="14" x14ac:dyDescent="0.25"/>
  <cols>
    <col min="1" max="5" width="9.08984375" style="2"/>
    <col min="6" max="6" width="15.7265625" style="2" customWidth="1"/>
    <col min="7" max="7" width="3.7265625" style="2" customWidth="1"/>
    <col min="8" max="16384" width="9.08984375" style="2"/>
  </cols>
  <sheetData>
    <row r="8" spans="6:14" ht="21.5" thickBot="1" x14ac:dyDescent="0.45">
      <c r="F8" s="3" t="s">
        <v>18</v>
      </c>
      <c r="N8" s="8"/>
    </row>
    <row r="10" spans="6:14" x14ac:dyDescent="0.25">
      <c r="F10" s="2" t="s">
        <v>19</v>
      </c>
    </row>
    <row r="11" spans="6:14" x14ac:dyDescent="0.25">
      <c r="F11" s="2" t="s">
        <v>81</v>
      </c>
    </row>
    <row r="12" spans="6:14" x14ac:dyDescent="0.25">
      <c r="G12" s="7"/>
    </row>
  </sheetData>
  <sheetProtection sheet="1" selectLockedCells="1"/>
  <phoneticPr fontId="1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howOutlineSymbols="0"/>
  </sheetPr>
  <dimension ref="C8:M10"/>
  <sheetViews>
    <sheetView showGridLines="0" showRowColHeaders="0" showZeros="0" showOutlineSymbols="0" workbookViewId="0">
      <selection activeCell="M8" sqref="M8"/>
    </sheetView>
  </sheetViews>
  <sheetFormatPr defaultColWidth="9.08984375" defaultRowHeight="14" x14ac:dyDescent="0.25"/>
  <cols>
    <col min="1" max="16384" width="9.08984375" style="2"/>
  </cols>
  <sheetData>
    <row r="8" spans="3:13" ht="21.5" thickBot="1" x14ac:dyDescent="0.45">
      <c r="C8" s="3" t="s">
        <v>83</v>
      </c>
      <c r="M8" s="35"/>
    </row>
    <row r="10" spans="3:13" x14ac:dyDescent="0.25">
      <c r="C10" s="2" t="s">
        <v>20</v>
      </c>
    </row>
  </sheetData>
  <sheetProtection sheet="1" selectLockedCells="1"/>
  <phoneticPr fontId="1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howOutlineSymbols="0"/>
  </sheetPr>
  <dimension ref="H8:R10"/>
  <sheetViews>
    <sheetView showGridLines="0" showRowColHeaders="0" showZeros="0" showOutlineSymbols="0" workbookViewId="0">
      <selection activeCell="R8" sqref="R8"/>
    </sheetView>
  </sheetViews>
  <sheetFormatPr defaultColWidth="9.08984375" defaultRowHeight="14" x14ac:dyDescent="0.25"/>
  <cols>
    <col min="1" max="16384" width="9.08984375" style="2"/>
  </cols>
  <sheetData>
    <row r="8" spans="8:18" ht="21.5" thickBot="1" x14ac:dyDescent="0.45">
      <c r="H8" s="3" t="s">
        <v>84</v>
      </c>
      <c r="R8" s="8"/>
    </row>
    <row r="10" spans="8:18" x14ac:dyDescent="0.25">
      <c r="H10" s="2" t="s">
        <v>21</v>
      </c>
    </row>
  </sheetData>
  <sheetProtection sheet="1" selectLockedCells="1"/>
  <phoneticPr fontId="1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howOutlineSymbols="0"/>
  </sheetPr>
  <dimension ref="H8:O10"/>
  <sheetViews>
    <sheetView showGridLines="0" showRowColHeaders="0" showZeros="0" showOutlineSymbols="0" workbookViewId="0">
      <selection activeCell="O8" sqref="O8"/>
    </sheetView>
  </sheetViews>
  <sheetFormatPr defaultColWidth="9.08984375" defaultRowHeight="14" x14ac:dyDescent="0.25"/>
  <cols>
    <col min="1" max="16384" width="9.08984375" style="2"/>
  </cols>
  <sheetData>
    <row r="8" spans="8:15" ht="21.5" thickBot="1" x14ac:dyDescent="0.45">
      <c r="H8" s="3" t="s">
        <v>85</v>
      </c>
      <c r="O8" s="8"/>
    </row>
    <row r="10" spans="8:15" x14ac:dyDescent="0.25">
      <c r="H10" s="2" t="s">
        <v>21</v>
      </c>
    </row>
  </sheetData>
  <sheetProtection sheet="1" selectLockedCells="1"/>
  <phoneticPr fontId="1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howOutlineSymbols="0"/>
  </sheetPr>
  <dimension ref="E8:L10"/>
  <sheetViews>
    <sheetView showGridLines="0" showRowColHeaders="0" showZeros="0" showOutlineSymbols="0" workbookViewId="0">
      <selection activeCell="L8" sqref="L8"/>
    </sheetView>
  </sheetViews>
  <sheetFormatPr defaultColWidth="9.08984375" defaultRowHeight="14" x14ac:dyDescent="0.25"/>
  <cols>
    <col min="1" max="16384" width="9.08984375" style="2"/>
  </cols>
  <sheetData>
    <row r="8" spans="5:12" ht="21.5" thickBot="1" x14ac:dyDescent="0.45">
      <c r="E8" s="3" t="s">
        <v>86</v>
      </c>
      <c r="L8" s="9"/>
    </row>
    <row r="10" spans="5:12" x14ac:dyDescent="0.25">
      <c r="E10" s="2" t="s">
        <v>21</v>
      </c>
    </row>
  </sheetData>
  <sheetProtection sheet="1" selectLockedCells="1"/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howOutlineSymbols="0"/>
  </sheetPr>
  <dimension ref="H8:M10"/>
  <sheetViews>
    <sheetView showGridLines="0" showRowColHeaders="0" showZeros="0" showOutlineSymbols="0" workbookViewId="0">
      <selection activeCell="M8" sqref="M8"/>
    </sheetView>
  </sheetViews>
  <sheetFormatPr defaultColWidth="9.08984375" defaultRowHeight="14" x14ac:dyDescent="0.25"/>
  <cols>
    <col min="1" max="16384" width="9.08984375" style="2"/>
  </cols>
  <sheetData>
    <row r="8" spans="8:13" ht="21.5" thickBot="1" x14ac:dyDescent="0.45">
      <c r="H8" s="3" t="s">
        <v>22</v>
      </c>
      <c r="M8" s="8"/>
    </row>
    <row r="10" spans="8:13" x14ac:dyDescent="0.25">
      <c r="H10" s="2" t="s">
        <v>82</v>
      </c>
    </row>
  </sheetData>
  <sheetProtection sheet="1" selectLockedCells="1"/>
  <phoneticPr fontId="12" type="noConversion"/>
  <dataValidations count="1">
    <dataValidation type="list" allowBlank="1" showInputMessage="1" showErrorMessage="1" sqref="M8" xr:uid="{00000000-0002-0000-0800-000000000000}">
      <formula1>"1, 2, 3, 4, 5, 6, 7,"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howOutlineSymbols="0"/>
  </sheetPr>
  <dimension ref="H8:N10"/>
  <sheetViews>
    <sheetView showGridLines="0" showRowColHeaders="0" showZeros="0" showOutlineSymbols="0" workbookViewId="0">
      <selection activeCell="N8" sqref="N8"/>
    </sheetView>
  </sheetViews>
  <sheetFormatPr defaultColWidth="9.08984375" defaultRowHeight="14" x14ac:dyDescent="0.25"/>
  <cols>
    <col min="1" max="10" width="9.08984375" style="2"/>
    <col min="11" max="13" width="9.08984375" style="2" customWidth="1"/>
    <col min="14" max="16384" width="9.08984375" style="2"/>
  </cols>
  <sheetData>
    <row r="8" spans="8:14" ht="21.5" thickBot="1" x14ac:dyDescent="0.45">
      <c r="H8" s="3" t="s">
        <v>7</v>
      </c>
      <c r="N8" s="8"/>
    </row>
    <row r="10" spans="8:14" x14ac:dyDescent="0.25">
      <c r="H10" s="2" t="s">
        <v>23</v>
      </c>
    </row>
  </sheetData>
  <sheetProtection sheet="1" selectLockedCells="1"/>
  <phoneticPr fontId="1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howOutlineSymbols="0"/>
  </sheetPr>
  <dimension ref="A1:U19"/>
  <sheetViews>
    <sheetView showGridLines="0" showRowColHeaders="0" showZeros="0" showOutlineSymbols="0" zoomScaleNormal="100" workbookViewId="0">
      <selection activeCell="N2" sqref="N2:P2"/>
    </sheetView>
  </sheetViews>
  <sheetFormatPr defaultColWidth="9.08984375" defaultRowHeight="21" x14ac:dyDescent="0.4"/>
  <cols>
    <col min="1" max="3" width="9.08984375" style="3"/>
    <col min="4" max="4" width="9.08984375" style="3" customWidth="1"/>
    <col min="5" max="5" width="5.7265625" style="3" customWidth="1"/>
    <col min="6" max="6" width="2" style="3" customWidth="1"/>
    <col min="7" max="7" width="0.6328125" style="3" customWidth="1"/>
    <col min="8" max="8" width="4.90625" style="10" customWidth="1"/>
    <col min="9" max="9" width="5.90625" style="3" customWidth="1"/>
    <col min="10" max="10" width="5.26953125" style="3" customWidth="1"/>
    <col min="11" max="12" width="9.08984375" style="3"/>
    <col min="13" max="13" width="20" style="3" customWidth="1"/>
    <col min="14" max="14" width="18.08984375" style="3" bestFit="1" customWidth="1"/>
    <col min="15" max="16384" width="9.08984375" style="3"/>
  </cols>
  <sheetData>
    <row r="1" spans="1:21" s="14" customFormat="1" ht="12" x14ac:dyDescent="0.25">
      <c r="A1" s="26"/>
      <c r="H1" s="15"/>
    </row>
    <row r="2" spans="1:21" ht="21.5" thickBot="1" x14ac:dyDescent="0.45">
      <c r="C2" s="3" t="s">
        <v>13</v>
      </c>
      <c r="N2" s="47">
        <f>晋升目标!L8</f>
        <v>0</v>
      </c>
      <c r="O2" s="47"/>
      <c r="P2" s="47"/>
      <c r="Q2" s="5" t="s">
        <v>8</v>
      </c>
      <c r="R2" s="44">
        <f>何时达成!K8</f>
        <v>0</v>
      </c>
      <c r="S2" s="44"/>
      <c r="T2" s="44"/>
      <c r="U2" s="3" t="s">
        <v>9</v>
      </c>
    </row>
    <row r="3" spans="1:21" s="11" customFormat="1" ht="12" x14ac:dyDescent="0.25">
      <c r="C3" s="11" t="s">
        <v>0</v>
      </c>
      <c r="H3" s="12"/>
      <c r="N3" s="46">
        <f>培育D目标!P8</f>
        <v>5</v>
      </c>
      <c r="O3" s="46"/>
      <c r="P3" s="46"/>
    </row>
    <row r="4" spans="1:21" ht="21.5" thickBot="1" x14ac:dyDescent="0.45">
      <c r="C4" s="3" t="s">
        <v>24</v>
      </c>
      <c r="H4" s="28" t="e">
        <f>N4/N6</f>
        <v>#VALUE!</v>
      </c>
      <c r="I4" s="29" t="s">
        <v>25</v>
      </c>
      <c r="N4" s="48">
        <f>N5*N3</f>
        <v>0</v>
      </c>
      <c r="O4" s="48"/>
      <c r="P4" s="48"/>
    </row>
    <row r="5" spans="1:21" s="11" customFormat="1" ht="12" x14ac:dyDescent="0.25">
      <c r="C5" s="11" t="s">
        <v>3</v>
      </c>
      <c r="H5" s="12"/>
      <c r="N5" s="46">
        <f>培育率!N8</f>
        <v>0</v>
      </c>
      <c r="O5" s="46"/>
      <c r="P5" s="46"/>
    </row>
    <row r="6" spans="1:21" ht="21.5" thickBot="1" x14ac:dyDescent="0.45">
      <c r="C6" s="3" t="s">
        <v>11</v>
      </c>
      <c r="H6" s="17" t="e">
        <f>N6/N8</f>
        <v>#VALUE!</v>
      </c>
      <c r="I6" s="18" t="s">
        <v>26</v>
      </c>
      <c r="N6" s="48" t="str">
        <f>IFERROR(N4/(N7*0.1),"")</f>
        <v/>
      </c>
      <c r="O6" s="48"/>
      <c r="P6" s="48"/>
    </row>
    <row r="7" spans="1:21" s="11" customFormat="1" ht="12" x14ac:dyDescent="0.25">
      <c r="C7" s="11" t="s">
        <v>4</v>
      </c>
      <c r="H7" s="12"/>
      <c r="I7" s="12"/>
      <c r="N7" s="45">
        <f>推荐成功率!M8</f>
        <v>0</v>
      </c>
      <c r="O7" s="45"/>
      <c r="P7" s="45"/>
    </row>
    <row r="8" spans="1:21" ht="21.5" thickBot="1" x14ac:dyDescent="0.45">
      <c r="C8" s="42" t="s">
        <v>10</v>
      </c>
      <c r="D8" s="42"/>
      <c r="E8" s="30" t="e">
        <f>N8/N10</f>
        <v>#VALUE!</v>
      </c>
      <c r="F8" s="31" t="s">
        <v>27</v>
      </c>
      <c r="H8" s="3"/>
      <c r="N8" s="48" t="str">
        <f>IFERROR(N6/(0.1*《认识美乐家》分享率!R8),"")</f>
        <v/>
      </c>
      <c r="O8" s="48"/>
      <c r="P8" s="48"/>
    </row>
    <row r="9" spans="1:21" s="11" customFormat="1" ht="12" x14ac:dyDescent="0.25">
      <c r="C9" s="11" t="s">
        <v>1</v>
      </c>
      <c r="H9" s="19"/>
      <c r="I9" s="16"/>
      <c r="N9" s="46">
        <f>应邀率!O8</f>
        <v>0</v>
      </c>
      <c r="O9" s="46"/>
      <c r="P9" s="46"/>
    </row>
    <row r="10" spans="1:21" s="6" customFormat="1" ht="21.5" thickBot="1" x14ac:dyDescent="0.45">
      <c r="C10" s="3" t="s">
        <v>12</v>
      </c>
      <c r="E10" s="17" t="e">
        <f>N10/N12</f>
        <v>#VALUE!</v>
      </c>
      <c r="F10" s="18" t="s">
        <v>28</v>
      </c>
      <c r="N10" s="48" t="str">
        <f>IFERROR(N8/(0.1*应邀率!O8),"")</f>
        <v/>
      </c>
      <c r="O10" s="48"/>
      <c r="P10" s="48"/>
    </row>
    <row r="11" spans="1:21" s="11" customFormat="1" ht="12" x14ac:dyDescent="0.25">
      <c r="H11" s="12"/>
      <c r="N11" s="13"/>
      <c r="O11" s="13"/>
      <c r="P11" s="13"/>
    </row>
    <row r="12" spans="1:21" ht="21.5" thickBot="1" x14ac:dyDescent="0.45">
      <c r="C12" s="3" t="s">
        <v>14</v>
      </c>
      <c r="E12" s="18" t="s">
        <v>29</v>
      </c>
      <c r="N12" s="48" t="str">
        <f>IFERROR(N10/(接听率!L8*0.1),"")</f>
        <v/>
      </c>
      <c r="O12" s="48"/>
      <c r="P12" s="48"/>
    </row>
    <row r="13" spans="1:21" s="11" customFormat="1" ht="12" x14ac:dyDescent="0.25">
      <c r="C13" s="11" t="s">
        <v>2</v>
      </c>
      <c r="H13" s="12"/>
      <c r="N13" s="46">
        <f>应邀率!O8</f>
        <v>0</v>
      </c>
      <c r="O13" s="46"/>
      <c r="P13" s="46"/>
    </row>
    <row r="14" spans="1:21" ht="21.5" thickBot="1" x14ac:dyDescent="0.45">
      <c r="C14" s="3" t="s">
        <v>15</v>
      </c>
      <c r="N14" s="48" t="str">
        <f ca="1">IF((((EOMONTH(TODAY(),0)-TODAY())+(R2-TODAY()))*(IF(每周工作天数!M8=0,7,每周工作天数!M8)/7))-额外假期!N8&gt;0,(((EOMONTH(TODAY(),0)-TODAY())+(R2-TODAY()))*(IF(每周工作天数!M8=0,7,每周工作天数!M8)/7))-额外假期!N8,"")</f>
        <v/>
      </c>
      <c r="O14" s="48"/>
      <c r="P14" s="48"/>
    </row>
    <row r="15" spans="1:21" s="14" customFormat="1" ht="12" hidden="1" customHeight="1" x14ac:dyDescent="0.25">
      <c r="H15" s="15"/>
    </row>
    <row r="16" spans="1:21" s="20" customFormat="1" ht="27.75" hidden="1" customHeight="1" thickBot="1" x14ac:dyDescent="0.5">
      <c r="C16" s="27" t="s">
        <v>30</v>
      </c>
      <c r="D16" s="21"/>
      <c r="E16" s="21"/>
      <c r="F16" s="21"/>
      <c r="G16" s="21"/>
      <c r="H16" s="22"/>
      <c r="I16" s="21"/>
      <c r="J16" s="21"/>
      <c r="K16" s="21"/>
      <c r="L16" s="21"/>
      <c r="M16" s="21"/>
      <c r="N16" s="43" t="str">
        <f ca="1">IFERROR(N12/N14,"")</f>
        <v/>
      </c>
      <c r="O16" s="43"/>
      <c r="P16" s="43"/>
    </row>
    <row r="17" spans="3:16" s="23" customFormat="1" ht="12" hidden="1" customHeight="1" x14ac:dyDescent="0.25">
      <c r="H17" s="24"/>
    </row>
    <row r="18" spans="3:16" s="20" customFormat="1" ht="30" hidden="1" customHeight="1" thickBot="1" x14ac:dyDescent="0.5">
      <c r="C18" s="27" t="s">
        <v>31</v>
      </c>
      <c r="D18" s="21"/>
      <c r="E18" s="21"/>
      <c r="F18" s="21"/>
      <c r="G18" s="21"/>
      <c r="H18" s="22"/>
      <c r="I18" s="21"/>
      <c r="J18" s="21"/>
      <c r="K18" s="21"/>
      <c r="L18" s="21"/>
      <c r="M18" s="21"/>
      <c r="N18" s="43" t="str">
        <f ca="1">IFERROR(行动指引!N8/((R2-TODAY()+30)/7),"")</f>
        <v/>
      </c>
      <c r="O18" s="43"/>
      <c r="P18" s="43"/>
    </row>
    <row r="19" spans="3:16" s="20" customFormat="1" ht="21" hidden="1" customHeight="1" x14ac:dyDescent="0.4">
      <c r="H19" s="25"/>
    </row>
  </sheetData>
  <sheetProtection formatRows="0" insertRows="0" deleteRows="0" selectLockedCells="1"/>
  <mergeCells count="16">
    <mergeCell ref="C8:D8"/>
    <mergeCell ref="N18:P18"/>
    <mergeCell ref="R2:T2"/>
    <mergeCell ref="N7:P7"/>
    <mergeCell ref="N9:P9"/>
    <mergeCell ref="N2:P2"/>
    <mergeCell ref="N3:P3"/>
    <mergeCell ref="N5:P5"/>
    <mergeCell ref="N6:P6"/>
    <mergeCell ref="N4:P4"/>
    <mergeCell ref="N14:P14"/>
    <mergeCell ref="N16:P16"/>
    <mergeCell ref="N12:P12"/>
    <mergeCell ref="N8:P8"/>
    <mergeCell ref="N13:P13"/>
    <mergeCell ref="N10:P10"/>
  </mergeCells>
  <phoneticPr fontId="12" type="noConversion"/>
  <pageMargins left="0.7" right="0.7" top="0.75" bottom="0.75" header="0.3" footer="0.3"/>
  <pageSetup orientation="portrait" horizontalDpi="4294967293" r:id="rId1"/>
  <colBreaks count="1" manualBreakCount="1">
    <brk id="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晋升目标</vt:lpstr>
      <vt:lpstr>何时达成</vt:lpstr>
      <vt:lpstr>培育D目标</vt:lpstr>
      <vt:lpstr>培育率</vt:lpstr>
      <vt:lpstr>推荐成功率</vt:lpstr>
      <vt:lpstr>《认识美乐家》分享率</vt:lpstr>
      <vt:lpstr>应邀率</vt:lpstr>
      <vt:lpstr>接听率</vt:lpstr>
      <vt:lpstr>每周工作天数</vt:lpstr>
      <vt:lpstr>额外假期</vt:lpstr>
      <vt:lpstr>行动指引</vt:lpstr>
    </vt:vector>
  </TitlesOfParts>
  <Company>Melaleuca,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Johnson</dc:creator>
  <cp:lastModifiedBy>Jackie Song</cp:lastModifiedBy>
  <dcterms:created xsi:type="dcterms:W3CDTF">2017-06-28T21:57:43Z</dcterms:created>
  <dcterms:modified xsi:type="dcterms:W3CDTF">2022-01-02T02:06:43Z</dcterms:modified>
</cp:coreProperties>
</file>